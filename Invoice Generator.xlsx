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36AA33A-6143-4459-9292-230AD049132D}" xr6:coauthVersionLast="36" xr6:coauthVersionMax="36" xr10:uidLastSave="{00000000-0000-0000-0000-000000000000}"/>
  <bookViews>
    <workbookView xWindow="0" yWindow="0" windowWidth="20460" windowHeight="7515" xr2:uid="{00000000-000D-0000-FFFF-FFFF00000000}"/>
  </bookViews>
  <sheets>
    <sheet name="Invoice" sheetId="1" r:id="rId1"/>
    <sheet name="PriceList" sheetId="2" state="hidden" r:id="rId2"/>
  </sheets>
  <definedNames>
    <definedName name="ProductList">OFFSET(Invoice!$K$3,0,0,COUNTA(Invoice!$K:$K)-1,1)</definedName>
  </definedNames>
  <calcPr calcId="191029"/>
</workbook>
</file>

<file path=xl/calcChain.xml><?xml version="1.0" encoding="utf-8"?>
<calcChain xmlns="http://schemas.openxmlformats.org/spreadsheetml/2006/main">
  <c r="C28" i="1" l="1"/>
  <c r="D27" i="1"/>
  <c r="E27" i="1" s="1"/>
  <c r="H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G14" i="1" l="1"/>
  <c r="H14" i="1"/>
  <c r="G22" i="1"/>
  <c r="H22" i="1"/>
  <c r="G26" i="1"/>
  <c r="H26" i="1"/>
  <c r="G18" i="1"/>
  <c r="H18" i="1"/>
  <c r="G15" i="1"/>
  <c r="H15" i="1"/>
  <c r="G19" i="1"/>
  <c r="H19" i="1"/>
  <c r="G23" i="1"/>
  <c r="H23" i="1"/>
  <c r="G16" i="1"/>
  <c r="H16" i="1"/>
  <c r="G20" i="1"/>
  <c r="H20" i="1"/>
  <c r="G24" i="1"/>
  <c r="H24" i="1"/>
  <c r="G13" i="1"/>
  <c r="E28" i="1"/>
  <c r="H13" i="1"/>
  <c r="G17" i="1"/>
  <c r="H17" i="1"/>
  <c r="G21" i="1"/>
  <c r="H21" i="1"/>
  <c r="G25" i="1"/>
  <c r="H25" i="1"/>
  <c r="G27" i="1"/>
  <c r="H34" i="1" l="1"/>
  <c r="H28" i="1"/>
  <c r="G28" i="1"/>
</calcChain>
</file>

<file path=xl/sharedStrings.xml><?xml version="1.0" encoding="utf-8"?>
<sst xmlns="http://schemas.openxmlformats.org/spreadsheetml/2006/main" count="66" uniqueCount="48">
  <si>
    <t>Product</t>
  </si>
  <si>
    <t>Price</t>
  </si>
  <si>
    <t>TV</t>
  </si>
  <si>
    <t>ELECTRONIC BILL INVOICE</t>
  </si>
  <si>
    <t>AC</t>
  </si>
  <si>
    <t>Invoice No.</t>
  </si>
  <si>
    <t>State Code</t>
  </si>
  <si>
    <t>Date</t>
  </si>
  <si>
    <t>Fridge</t>
  </si>
  <si>
    <t>SHIP TO</t>
  </si>
  <si>
    <t>BILL TO</t>
  </si>
  <si>
    <t>Washing Machine</t>
  </si>
  <si>
    <t>Vijay Kumar</t>
  </si>
  <si>
    <t>Microwave</t>
  </si>
  <si>
    <t>Kalpavriksha Building, Flat No. A2 404</t>
  </si>
  <si>
    <t>Cooler</t>
  </si>
  <si>
    <t>Fan</t>
  </si>
  <si>
    <t>Maharashtra</t>
  </si>
  <si>
    <t>Laptop</t>
  </si>
  <si>
    <t>PARTICULARS</t>
  </si>
  <si>
    <t>GST Type</t>
  </si>
  <si>
    <t>Mobile</t>
  </si>
  <si>
    <t>Sr No.</t>
  </si>
  <si>
    <t>Quantity</t>
  </si>
  <si>
    <t>Rate</t>
  </si>
  <si>
    <t>Amount</t>
  </si>
  <si>
    <t>GST %</t>
  </si>
  <si>
    <t>GST Applied</t>
  </si>
  <si>
    <t>Amount with GST</t>
  </si>
  <si>
    <t>Speaker</t>
  </si>
  <si>
    <t>TOTAL</t>
  </si>
  <si>
    <t>Total Amount in Words</t>
  </si>
  <si>
    <t>Total Amount</t>
  </si>
  <si>
    <t>CGST</t>
  </si>
  <si>
    <t>SGST</t>
  </si>
  <si>
    <t>GST</t>
  </si>
  <si>
    <t>Bank Details</t>
  </si>
  <si>
    <t>Signature</t>
  </si>
  <si>
    <t>Bank Name :</t>
  </si>
  <si>
    <t>Bank A/c No. :</t>
  </si>
  <si>
    <t>Bank IFSC :</t>
  </si>
  <si>
    <t>Phone</t>
  </si>
  <si>
    <t>Shop No. 12, Shree Plaza, MG Road, Pune - 411001</t>
  </si>
  <si>
    <t>TechZone Electronics</t>
  </si>
  <si>
    <t>703940xxxx</t>
  </si>
  <si>
    <t>techzone1electronic@gmail.com</t>
  </si>
  <si>
    <t>xx-xx-2026</t>
  </si>
  <si>
    <t>Pune - 411001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</si>
</sst>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2"/>
      <name val="Calibri"/>
    </font>
    <font>
      <sz val="11"/>
      <name val="Calibri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b/>
      <sz val="10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4D79B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roducts" displayName="tblProducts" ref="K2:L13">
  <autoFilter ref="K2:L13" xr:uid="{00000000-0009-0000-0100-000001000000}"/>
  <tableColumns count="2">
    <tableColumn id="11" xr3:uid="{00000000-0010-0000-0000-00000B000000}" name="Product"/>
    <tableColumn id="12" xr3:uid="{00000000-0010-0000-0000-00000C000000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techzone1electroni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A9" sqref="A9:D9"/>
    </sheetView>
  </sheetViews>
  <sheetFormatPr defaultRowHeight="15"/>
  <cols>
    <col min="1" max="1" width="12.7109375" customWidth="1"/>
    <col min="2" max="2" width="28" customWidth="1"/>
    <col min="3" max="3" width="10" customWidth="1"/>
    <col min="4" max="4" width="12" customWidth="1"/>
    <col min="5" max="5" width="14" customWidth="1"/>
    <col min="6" max="6" width="10" customWidth="1"/>
    <col min="7" max="7" width="14" customWidth="1"/>
    <col min="8" max="9" width="16" customWidth="1"/>
    <col min="11" max="11" width="16.85546875" customWidth="1"/>
  </cols>
  <sheetData>
    <row r="1" spans="1:12" ht="15" customHeight="1">
      <c r="A1" s="10" t="s">
        <v>43</v>
      </c>
      <c r="B1" s="11"/>
      <c r="C1" s="11"/>
      <c r="D1" s="11"/>
      <c r="E1" s="11"/>
      <c r="F1" s="11"/>
      <c r="G1" s="11"/>
      <c r="H1" s="11"/>
      <c r="I1" s="12"/>
    </row>
    <row r="2" spans="1:12" ht="15" customHeight="1">
      <c r="A2" s="13"/>
      <c r="B2" s="14"/>
      <c r="C2" s="14"/>
      <c r="D2" s="14"/>
      <c r="E2" s="14"/>
      <c r="F2" s="14"/>
      <c r="G2" s="14"/>
      <c r="H2" s="14"/>
      <c r="I2" s="15"/>
      <c r="K2" t="s">
        <v>0</v>
      </c>
      <c r="L2" t="s">
        <v>1</v>
      </c>
    </row>
    <row r="3" spans="1:12">
      <c r="A3" s="18" t="s">
        <v>42</v>
      </c>
      <c r="B3" s="6"/>
      <c r="C3" s="6"/>
      <c r="D3" s="6"/>
      <c r="E3" s="6"/>
      <c r="F3" s="6"/>
      <c r="G3" s="6"/>
      <c r="H3" s="6"/>
      <c r="I3" s="7"/>
      <c r="K3" t="s">
        <v>2</v>
      </c>
      <c r="L3">
        <v>35000</v>
      </c>
    </row>
    <row r="4" spans="1:12" ht="18.75" customHeight="1">
      <c r="A4" s="17" t="s">
        <v>3</v>
      </c>
      <c r="B4" s="6"/>
      <c r="C4" s="6"/>
      <c r="D4" s="6"/>
      <c r="E4" s="6"/>
      <c r="F4" s="6"/>
      <c r="G4" s="6"/>
      <c r="H4" s="6"/>
      <c r="I4" s="7"/>
      <c r="K4" t="s">
        <v>4</v>
      </c>
      <c r="L4">
        <v>18000</v>
      </c>
    </row>
    <row r="5" spans="1:12">
      <c r="A5" s="4" t="s">
        <v>5</v>
      </c>
      <c r="B5" s="4">
        <v>1</v>
      </c>
      <c r="C5" s="4"/>
      <c r="D5" s="4" t="s">
        <v>6</v>
      </c>
      <c r="E5" s="4">
        <v>27</v>
      </c>
      <c r="F5" s="4"/>
      <c r="G5" s="4" t="s">
        <v>7</v>
      </c>
      <c r="H5" s="4" t="s">
        <v>46</v>
      </c>
      <c r="I5" s="4"/>
      <c r="K5" t="s">
        <v>8</v>
      </c>
      <c r="L5">
        <v>25000</v>
      </c>
    </row>
    <row r="6" spans="1:12" ht="15.75" customHeight="1">
      <c r="A6" s="8" t="s">
        <v>9</v>
      </c>
      <c r="B6" s="6"/>
      <c r="C6" s="6"/>
      <c r="D6" s="7"/>
      <c r="E6" s="8" t="s">
        <v>10</v>
      </c>
      <c r="F6" s="6"/>
      <c r="G6" s="6"/>
      <c r="H6" s="6"/>
      <c r="I6" s="7"/>
      <c r="K6" t="s">
        <v>11</v>
      </c>
      <c r="L6">
        <v>22000</v>
      </c>
    </row>
    <row r="7" spans="1:12">
      <c r="A7" s="5" t="s">
        <v>12</v>
      </c>
      <c r="B7" s="6"/>
      <c r="C7" s="6"/>
      <c r="D7" s="7"/>
      <c r="E7" s="5" t="s">
        <v>43</v>
      </c>
      <c r="F7" s="6"/>
      <c r="G7" s="6"/>
      <c r="H7" s="6"/>
      <c r="I7" s="7"/>
      <c r="K7" t="s">
        <v>13</v>
      </c>
      <c r="L7">
        <v>8000</v>
      </c>
    </row>
    <row r="8" spans="1:12">
      <c r="A8" s="5" t="s">
        <v>14</v>
      </c>
      <c r="B8" s="6"/>
      <c r="C8" s="6"/>
      <c r="D8" s="7"/>
      <c r="E8" s="5" t="s">
        <v>42</v>
      </c>
      <c r="F8" s="6"/>
      <c r="G8" s="6"/>
      <c r="H8" s="6"/>
      <c r="I8" s="7"/>
      <c r="K8" t="s">
        <v>15</v>
      </c>
      <c r="L8">
        <v>6500</v>
      </c>
    </row>
    <row r="9" spans="1:12">
      <c r="A9" s="5" t="s">
        <v>47</v>
      </c>
      <c r="B9" s="6"/>
      <c r="C9" s="6"/>
      <c r="D9" s="7"/>
      <c r="E9" s="5" t="s">
        <v>44</v>
      </c>
      <c r="F9" s="6"/>
      <c r="G9" s="6"/>
      <c r="H9" s="6"/>
      <c r="I9" s="7"/>
      <c r="K9" t="s">
        <v>16</v>
      </c>
      <c r="L9">
        <v>2500</v>
      </c>
    </row>
    <row r="10" spans="1:12">
      <c r="A10" s="5" t="s">
        <v>17</v>
      </c>
      <c r="B10" s="6"/>
      <c r="C10" s="6"/>
      <c r="D10" s="7"/>
      <c r="E10" s="19" t="s">
        <v>45</v>
      </c>
      <c r="F10" s="6"/>
      <c r="G10" s="6"/>
      <c r="H10" s="6"/>
      <c r="I10" s="7"/>
      <c r="K10" t="s">
        <v>18</v>
      </c>
      <c r="L10">
        <v>55000</v>
      </c>
    </row>
    <row r="11" spans="1:12" ht="15.75" customHeight="1">
      <c r="A11" s="8" t="s">
        <v>19</v>
      </c>
      <c r="B11" s="6"/>
      <c r="C11" s="6"/>
      <c r="D11" s="6"/>
      <c r="E11" s="7"/>
      <c r="F11" s="8" t="s">
        <v>20</v>
      </c>
      <c r="G11" s="6"/>
      <c r="H11" s="6"/>
      <c r="I11" s="7"/>
      <c r="K11" t="s">
        <v>21</v>
      </c>
      <c r="L11">
        <v>20000</v>
      </c>
    </row>
    <row r="12" spans="1:12">
      <c r="A12" s="1" t="s">
        <v>22</v>
      </c>
      <c r="B12" s="1" t="s">
        <v>0</v>
      </c>
      <c r="C12" s="1" t="s">
        <v>23</v>
      </c>
      <c r="D12" s="1" t="s">
        <v>24</v>
      </c>
      <c r="E12" s="1" t="s">
        <v>25</v>
      </c>
      <c r="F12" s="1" t="s">
        <v>26</v>
      </c>
      <c r="G12" s="1" t="s">
        <v>27</v>
      </c>
      <c r="H12" s="1" t="s">
        <v>28</v>
      </c>
      <c r="I12" s="1"/>
      <c r="K12" t="s">
        <v>29</v>
      </c>
      <c r="L12">
        <v>5000</v>
      </c>
    </row>
    <row r="13" spans="1:12">
      <c r="A13" s="4">
        <v>1</v>
      </c>
      <c r="B13" s="4" t="s">
        <v>13</v>
      </c>
      <c r="C13" s="4">
        <v>2</v>
      </c>
      <c r="D13" s="4">
        <f t="shared" ref="D13:D27" si="0">IF(B13="","",VLOOKUP(B13,$K$3:$L$100,2,FALSE))</f>
        <v>8000</v>
      </c>
      <c r="E13" s="4">
        <f t="shared" ref="E13:E27" si="1">IF(OR(C13="",D13=""),"",C13*D13)</f>
        <v>16000</v>
      </c>
      <c r="F13" s="4">
        <v>18</v>
      </c>
      <c r="G13" s="4">
        <f t="shared" ref="G13:G27" si="2">IF(E13="","",E13*F13/100)</f>
        <v>2880</v>
      </c>
      <c r="H13" s="4">
        <f t="shared" ref="H13:H27" si="3">IF(E13="","",E13+G13)</f>
        <v>18880</v>
      </c>
      <c r="I13" s="4"/>
      <c r="K13" t="s">
        <v>41</v>
      </c>
      <c r="L13">
        <v>10000</v>
      </c>
    </row>
    <row r="14" spans="1:12">
      <c r="A14" s="4">
        <v>2</v>
      </c>
      <c r="B14" s="4"/>
      <c r="C14" s="4"/>
      <c r="D14" s="4" t="str">
        <f t="shared" si="0"/>
        <v/>
      </c>
      <c r="E14" s="4" t="str">
        <f t="shared" si="1"/>
        <v/>
      </c>
      <c r="F14" s="4">
        <v>18</v>
      </c>
      <c r="G14" s="4" t="str">
        <f t="shared" si="2"/>
        <v/>
      </c>
      <c r="H14" s="4" t="str">
        <f t="shared" si="3"/>
        <v/>
      </c>
      <c r="I14" s="4"/>
    </row>
    <row r="15" spans="1:12">
      <c r="A15" s="4">
        <v>3</v>
      </c>
      <c r="B15" s="4"/>
      <c r="C15" s="4"/>
      <c r="D15" s="4" t="str">
        <f t="shared" si="0"/>
        <v/>
      </c>
      <c r="E15" s="4" t="str">
        <f t="shared" si="1"/>
        <v/>
      </c>
      <c r="F15" s="4">
        <v>18</v>
      </c>
      <c r="G15" s="4" t="str">
        <f t="shared" si="2"/>
        <v/>
      </c>
      <c r="H15" s="4" t="str">
        <f t="shared" si="3"/>
        <v/>
      </c>
      <c r="I15" s="4"/>
    </row>
    <row r="16" spans="1:12">
      <c r="A16" s="4">
        <v>4</v>
      </c>
      <c r="B16" s="4"/>
      <c r="C16" s="4"/>
      <c r="D16" s="4" t="str">
        <f t="shared" si="0"/>
        <v/>
      </c>
      <c r="E16" s="4" t="str">
        <f t="shared" si="1"/>
        <v/>
      </c>
      <c r="F16" s="4">
        <v>18</v>
      </c>
      <c r="G16" s="4" t="str">
        <f t="shared" si="2"/>
        <v/>
      </c>
      <c r="H16" s="4" t="str">
        <f t="shared" si="3"/>
        <v/>
      </c>
      <c r="I16" s="4"/>
    </row>
    <row r="17" spans="1:9">
      <c r="A17" s="4">
        <v>5</v>
      </c>
      <c r="B17" s="4"/>
      <c r="C17" s="4"/>
      <c r="D17" s="4" t="str">
        <f t="shared" si="0"/>
        <v/>
      </c>
      <c r="E17" s="4" t="str">
        <f t="shared" si="1"/>
        <v/>
      </c>
      <c r="F17" s="4">
        <v>18</v>
      </c>
      <c r="G17" s="4" t="str">
        <f t="shared" si="2"/>
        <v/>
      </c>
      <c r="H17" s="4" t="str">
        <f t="shared" si="3"/>
        <v/>
      </c>
      <c r="I17" s="4"/>
    </row>
    <row r="18" spans="1:9">
      <c r="A18" s="4">
        <v>6</v>
      </c>
      <c r="B18" s="4"/>
      <c r="C18" s="4"/>
      <c r="D18" s="4" t="str">
        <f t="shared" si="0"/>
        <v/>
      </c>
      <c r="E18" s="4" t="str">
        <f t="shared" si="1"/>
        <v/>
      </c>
      <c r="F18" s="4">
        <v>18</v>
      </c>
      <c r="G18" s="4" t="str">
        <f t="shared" si="2"/>
        <v/>
      </c>
      <c r="H18" s="4" t="str">
        <f t="shared" si="3"/>
        <v/>
      </c>
      <c r="I18" s="4"/>
    </row>
    <row r="19" spans="1:9">
      <c r="A19" s="4">
        <v>7</v>
      </c>
      <c r="B19" s="4"/>
      <c r="C19" s="4"/>
      <c r="D19" s="4" t="str">
        <f t="shared" si="0"/>
        <v/>
      </c>
      <c r="E19" s="4" t="str">
        <f t="shared" si="1"/>
        <v/>
      </c>
      <c r="F19" s="4">
        <v>18</v>
      </c>
      <c r="G19" s="4" t="str">
        <f t="shared" si="2"/>
        <v/>
      </c>
      <c r="H19" s="4" t="str">
        <f t="shared" si="3"/>
        <v/>
      </c>
      <c r="I19" s="4"/>
    </row>
    <row r="20" spans="1:9">
      <c r="A20" s="4">
        <v>8</v>
      </c>
      <c r="B20" s="4"/>
      <c r="C20" s="4"/>
      <c r="D20" s="4" t="str">
        <f t="shared" si="0"/>
        <v/>
      </c>
      <c r="E20" s="4" t="str">
        <f t="shared" si="1"/>
        <v/>
      </c>
      <c r="F20" s="4">
        <v>18</v>
      </c>
      <c r="G20" s="4" t="str">
        <f t="shared" si="2"/>
        <v/>
      </c>
      <c r="H20" s="4" t="str">
        <f t="shared" si="3"/>
        <v/>
      </c>
      <c r="I20" s="4"/>
    </row>
    <row r="21" spans="1:9">
      <c r="A21" s="4">
        <v>9</v>
      </c>
      <c r="B21" s="4"/>
      <c r="C21" s="4"/>
      <c r="D21" s="4" t="str">
        <f t="shared" si="0"/>
        <v/>
      </c>
      <c r="E21" s="4" t="str">
        <f t="shared" si="1"/>
        <v/>
      </c>
      <c r="F21" s="4">
        <v>18</v>
      </c>
      <c r="G21" s="4" t="str">
        <f t="shared" si="2"/>
        <v/>
      </c>
      <c r="H21" s="4" t="str">
        <f t="shared" si="3"/>
        <v/>
      </c>
      <c r="I21" s="4"/>
    </row>
    <row r="22" spans="1:9">
      <c r="A22" s="4">
        <v>10</v>
      </c>
      <c r="B22" s="4"/>
      <c r="C22" s="4"/>
      <c r="D22" s="4" t="str">
        <f t="shared" si="0"/>
        <v/>
      </c>
      <c r="E22" s="4" t="str">
        <f t="shared" si="1"/>
        <v/>
      </c>
      <c r="F22" s="4">
        <v>18</v>
      </c>
      <c r="G22" s="4" t="str">
        <f t="shared" si="2"/>
        <v/>
      </c>
      <c r="H22" s="4" t="str">
        <f t="shared" si="3"/>
        <v/>
      </c>
      <c r="I22" s="4"/>
    </row>
    <row r="23" spans="1:9">
      <c r="A23" s="4">
        <v>11</v>
      </c>
      <c r="B23" s="4"/>
      <c r="C23" s="4"/>
      <c r="D23" s="4" t="str">
        <f t="shared" si="0"/>
        <v/>
      </c>
      <c r="E23" s="4" t="str">
        <f t="shared" si="1"/>
        <v/>
      </c>
      <c r="F23" s="4">
        <v>18</v>
      </c>
      <c r="G23" s="4" t="str">
        <f t="shared" si="2"/>
        <v/>
      </c>
      <c r="H23" s="4" t="str">
        <f t="shared" si="3"/>
        <v/>
      </c>
      <c r="I23" s="4"/>
    </row>
    <row r="24" spans="1:9">
      <c r="A24" s="4">
        <v>12</v>
      </c>
      <c r="B24" s="4"/>
      <c r="C24" s="4"/>
      <c r="D24" s="4" t="str">
        <f t="shared" si="0"/>
        <v/>
      </c>
      <c r="E24" s="4" t="str">
        <f t="shared" si="1"/>
        <v/>
      </c>
      <c r="F24" s="4">
        <v>18</v>
      </c>
      <c r="G24" s="4" t="str">
        <f t="shared" si="2"/>
        <v/>
      </c>
      <c r="H24" s="4" t="str">
        <f t="shared" si="3"/>
        <v/>
      </c>
      <c r="I24" s="4"/>
    </row>
    <row r="25" spans="1:9">
      <c r="A25" s="4">
        <v>13</v>
      </c>
      <c r="B25" s="4"/>
      <c r="C25" s="4"/>
      <c r="D25" s="4" t="str">
        <f t="shared" si="0"/>
        <v/>
      </c>
      <c r="E25" s="4" t="str">
        <f t="shared" si="1"/>
        <v/>
      </c>
      <c r="F25" s="4">
        <v>18</v>
      </c>
      <c r="G25" s="4" t="str">
        <f t="shared" si="2"/>
        <v/>
      </c>
      <c r="H25" s="4" t="str">
        <f t="shared" si="3"/>
        <v/>
      </c>
      <c r="I25" s="4"/>
    </row>
    <row r="26" spans="1:9">
      <c r="A26" s="4">
        <v>14</v>
      </c>
      <c r="B26" s="4"/>
      <c r="C26" s="4"/>
      <c r="D26" s="4" t="str">
        <f t="shared" si="0"/>
        <v/>
      </c>
      <c r="E26" s="4" t="str">
        <f t="shared" si="1"/>
        <v/>
      </c>
      <c r="F26" s="4">
        <v>18</v>
      </c>
      <c r="G26" s="4" t="str">
        <f t="shared" si="2"/>
        <v/>
      </c>
      <c r="H26" s="4" t="str">
        <f t="shared" si="3"/>
        <v/>
      </c>
      <c r="I26" s="4"/>
    </row>
    <row r="27" spans="1:9">
      <c r="A27" s="4">
        <v>15</v>
      </c>
      <c r="B27" s="4"/>
      <c r="C27" s="4"/>
      <c r="D27" s="4" t="str">
        <f t="shared" si="0"/>
        <v/>
      </c>
      <c r="E27" s="4" t="str">
        <f t="shared" si="1"/>
        <v/>
      </c>
      <c r="F27" s="4">
        <v>18</v>
      </c>
      <c r="G27" s="4" t="str">
        <f t="shared" si="2"/>
        <v/>
      </c>
      <c r="H27" s="4" t="str">
        <f t="shared" si="3"/>
        <v/>
      </c>
      <c r="I27" s="4"/>
    </row>
    <row r="28" spans="1:9">
      <c r="A28" s="2" t="s">
        <v>30</v>
      </c>
      <c r="B28" s="3"/>
      <c r="C28" s="3">
        <f>SUM(C13:C27)</f>
        <v>2</v>
      </c>
      <c r="D28" s="3"/>
      <c r="E28" s="3">
        <f>SUM(E13:E27)</f>
        <v>16000</v>
      </c>
      <c r="F28" s="3"/>
      <c r="G28" s="3">
        <f>SUM(G13:G27)</f>
        <v>2880</v>
      </c>
      <c r="H28" s="3">
        <f>SUM(H13:H27)</f>
        <v>18880</v>
      </c>
      <c r="I28" s="3"/>
    </row>
    <row r="29" spans="1:9">
      <c r="A29" s="16" t="s">
        <v>31</v>
      </c>
      <c r="B29" s="6"/>
      <c r="C29" s="6"/>
      <c r="D29" s="6"/>
      <c r="E29" s="7"/>
      <c r="F29" s="16" t="s">
        <v>32</v>
      </c>
      <c r="G29" s="6"/>
      <c r="H29" s="6"/>
      <c r="I29" s="7"/>
    </row>
    <row r="30" spans="1:9">
      <c r="A30" s="4"/>
      <c r="B30" s="4"/>
      <c r="C30" s="4"/>
      <c r="D30" s="4"/>
      <c r="E30" s="4"/>
      <c r="F30" s="4" t="s">
        <v>25</v>
      </c>
      <c r="G30" s="4"/>
      <c r="H30" s="4"/>
      <c r="I30" s="4"/>
    </row>
    <row r="31" spans="1:9">
      <c r="A31" s="4"/>
      <c r="B31" s="4"/>
      <c r="C31" s="4"/>
      <c r="D31" s="4"/>
      <c r="E31" s="4"/>
      <c r="F31" s="4" t="s">
        <v>33</v>
      </c>
      <c r="G31" s="4"/>
      <c r="H31" s="4"/>
      <c r="I31" s="4"/>
    </row>
    <row r="32" spans="1:9">
      <c r="A32" s="4"/>
      <c r="B32" s="4"/>
      <c r="C32" s="4"/>
      <c r="D32" s="4"/>
      <c r="E32" s="4"/>
      <c r="F32" s="4" t="s">
        <v>34</v>
      </c>
      <c r="G32" s="4"/>
      <c r="H32" s="4"/>
      <c r="I32" s="4"/>
    </row>
    <row r="33" spans="1:9">
      <c r="A33" s="4"/>
      <c r="B33" s="4"/>
      <c r="C33" s="4"/>
      <c r="D33" s="4"/>
      <c r="E33" s="4"/>
      <c r="F33" s="4" t="s">
        <v>35</v>
      </c>
      <c r="G33" s="4"/>
      <c r="H33" s="4"/>
      <c r="I33" s="4"/>
    </row>
    <row r="34" spans="1:9">
      <c r="A34" s="4"/>
      <c r="B34" s="4"/>
      <c r="C34" s="4"/>
      <c r="D34" s="4"/>
      <c r="E34" s="4"/>
      <c r="F34" s="4" t="s">
        <v>32</v>
      </c>
      <c r="G34" s="4"/>
      <c r="H34" s="4">
        <f>SUM(H13:H27)</f>
        <v>18880</v>
      </c>
      <c r="I34" s="4"/>
    </row>
    <row r="35" spans="1:9">
      <c r="A35" s="9" t="s">
        <v>36</v>
      </c>
      <c r="B35" s="6"/>
      <c r="C35" s="6"/>
      <c r="D35" s="6"/>
      <c r="E35" s="7"/>
      <c r="F35" s="9" t="s">
        <v>37</v>
      </c>
      <c r="G35" s="6"/>
      <c r="H35" s="6"/>
      <c r="I35" s="7"/>
    </row>
    <row r="36" spans="1:9">
      <c r="A36" s="4" t="s">
        <v>38</v>
      </c>
      <c r="B36" s="4"/>
      <c r="C36" s="4"/>
      <c r="D36" s="4"/>
      <c r="E36" s="4"/>
      <c r="F36" s="4"/>
      <c r="G36" s="4"/>
      <c r="H36" s="4"/>
      <c r="I36" s="4"/>
    </row>
    <row r="37" spans="1:9">
      <c r="A37" s="4" t="s">
        <v>39</v>
      </c>
      <c r="B37" s="4"/>
      <c r="C37" s="4"/>
      <c r="D37" s="4"/>
      <c r="E37" s="4"/>
      <c r="F37" s="4"/>
      <c r="G37" s="4"/>
      <c r="H37" s="4"/>
      <c r="I37" s="4"/>
    </row>
    <row r="38" spans="1:9">
      <c r="A38" s="4" t="s">
        <v>40</v>
      </c>
      <c r="B38" s="4"/>
      <c r="C38" s="4"/>
      <c r="D38" s="4"/>
      <c r="E38" s="4"/>
      <c r="F38" s="4"/>
      <c r="G38" s="4"/>
      <c r="H38" s="4"/>
      <c r="I38" s="4"/>
    </row>
  </sheetData>
  <mergeCells count="19">
    <mergeCell ref="A1:I2"/>
    <mergeCell ref="F29:I29"/>
    <mergeCell ref="A4:I4"/>
    <mergeCell ref="E9:I9"/>
    <mergeCell ref="A6:D6"/>
    <mergeCell ref="E6:I6"/>
    <mergeCell ref="A7:D7"/>
    <mergeCell ref="A29:E29"/>
    <mergeCell ref="A8:D8"/>
    <mergeCell ref="A11:E11"/>
    <mergeCell ref="A3:I3"/>
    <mergeCell ref="E8:I8"/>
    <mergeCell ref="A10:D10"/>
    <mergeCell ref="A9:D9"/>
    <mergeCell ref="E10:I10"/>
    <mergeCell ref="F11:I11"/>
    <mergeCell ref="A35:E35"/>
    <mergeCell ref="E7:I7"/>
    <mergeCell ref="F35:I35"/>
  </mergeCells>
  <dataValidations count="4">
    <dataValidation type="list" sqref="B13 B15:B27" xr:uid="{00000000-0002-0000-0000-000000000000}">
      <formula1>$K:$K</formula1>
    </dataValidation>
    <dataValidation type="list" sqref="C13:C27" xr:uid="{00000000-0002-0000-0000-000001000000}">
      <formula1>"1,2,3,4,5,6,7,8,9,10"</formula1>
    </dataValidation>
    <dataValidation type="list" sqref="B13:B27" xr:uid="{00000000-0002-0000-0000-000002000000}">
      <formula1>ProductList</formula1>
    </dataValidation>
    <dataValidation type="list" allowBlank="1" sqref="B14" xr:uid="{10DA5AEA-F6AB-4BDA-A161-0C16297B2C85}">
      <formula1>$K:$K</formula1>
    </dataValidation>
  </dataValidations>
  <hyperlinks>
    <hyperlink ref="E10" r:id="rId1" xr:uid="{ABA20696-426A-40B9-8D69-85CAC4710233}"/>
  </hyperlinks>
  <pageMargins left="0.75" right="0.75" top="1" bottom="1" header="0.5" footer="0.5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/>
  <sheetData>
    <row r="1" spans="1:2">
      <c r="A1" t="s">
        <v>0</v>
      </c>
      <c r="B1" t="s">
        <v>24</v>
      </c>
    </row>
    <row r="2" spans="1:2">
      <c r="A2" t="s">
        <v>2</v>
      </c>
      <c r="B2">
        <v>35000</v>
      </c>
    </row>
    <row r="3" spans="1:2">
      <c r="A3" t="s">
        <v>4</v>
      </c>
      <c r="B3">
        <v>18000</v>
      </c>
    </row>
    <row r="4" spans="1:2">
      <c r="A4" t="s">
        <v>8</v>
      </c>
      <c r="B4">
        <v>25000</v>
      </c>
    </row>
    <row r="5" spans="1:2">
      <c r="A5" t="s">
        <v>11</v>
      </c>
      <c r="B5">
        <v>22000</v>
      </c>
    </row>
    <row r="6" spans="1:2">
      <c r="A6" t="s">
        <v>13</v>
      </c>
      <c r="B6">
        <v>8000</v>
      </c>
    </row>
    <row r="7" spans="1:2">
      <c r="A7" t="s">
        <v>15</v>
      </c>
      <c r="B7">
        <v>6500</v>
      </c>
    </row>
    <row r="8" spans="1:2">
      <c r="A8" t="s">
        <v>16</v>
      </c>
      <c r="B8">
        <v>2500</v>
      </c>
    </row>
    <row r="9" spans="1:2">
      <c r="A9" t="s">
        <v>18</v>
      </c>
      <c r="B9">
        <v>55000</v>
      </c>
    </row>
    <row r="10" spans="1:2">
      <c r="A10" t="s">
        <v>21</v>
      </c>
      <c r="B10">
        <v>20000</v>
      </c>
    </row>
    <row r="11" spans="1:2">
      <c r="A11" t="s">
        <v>29</v>
      </c>
      <c r="B11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PriceList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2026-07-24T17:38:58Z</dcterms:created>
  <dcterms:modified xsi:type="dcterms:W3CDTF">2026-07-28T17:26:01Z</dcterms:modified>
</cp:coreProperties>
</file>